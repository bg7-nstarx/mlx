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ison" sheetId="1" state="visible" r:id="rId1"/>
    <sheet name="MLX_per_prompt" sheetId="2" state="visible" r:id="rId2"/>
  </sheets>
  <definedNames/>
  <calcPr calcId="124519" fullCalcOnLoad="1"/>
</workbook>
</file>

<file path=xl/styles.xml><?xml version="1.0" encoding="utf-8"?>
<styleSheet xmlns="http://schemas.openxmlformats.org/spreadsheetml/2006/main">
  <numFmts count="2">
    <numFmt numFmtId="164" formatCode="0.0"/>
    <numFmt numFmtId="165" formatCode="0.0&quot;x&quot;"/>
  </numFmts>
  <fonts count="6">
    <font>
      <name val="Calibri"/>
      <family val="2"/>
      <color theme="1"/>
      <sz val="11"/>
      <scheme val="minor"/>
    </font>
    <font>
      <name val="Arial"/>
      <b val="1"/>
    </font>
    <font>
      <name val="Arial"/>
    </font>
    <font>
      <name val="Arial"/>
      <color rgb="000000FF"/>
    </font>
    <font>
      <name val="Arial"/>
      <b val="1"/>
      <sz val="14"/>
    </font>
    <font>
      <name val="Arial"/>
      <b val="1"/>
      <sz val="12"/>
    </font>
  </fonts>
  <fills count="5">
    <fill>
      <patternFill/>
    </fill>
    <fill>
      <patternFill patternType="gray125"/>
    </fill>
    <fill>
      <patternFill patternType="solid">
        <fgColor rgb="00F2F2F2"/>
      </patternFill>
    </fill>
    <fill>
      <patternFill patternType="solid">
        <fgColor rgb="00FCE4D6"/>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4"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0" borderId="1" applyAlignment="1" pivotButton="0" quotePrefix="0" xfId="0">
      <alignment horizontal="center" vertical="center" wrapText="1"/>
    </xf>
    <xf numFmtId="0" fontId="2" fillId="0" borderId="1" applyAlignment="1" pivotButton="0" quotePrefix="0" xfId="0">
      <alignment horizontal="center" vertical="center" wrapText="1"/>
    </xf>
    <xf numFmtId="2" fontId="3" fillId="0" borderId="1" applyAlignment="1" pivotButton="0" quotePrefix="0" xfId="0">
      <alignment horizontal="center" vertical="center" wrapText="1"/>
    </xf>
    <xf numFmtId="4" fontId="3" fillId="0" borderId="1" applyAlignment="1" pivotButton="0" quotePrefix="0" xfId="0">
      <alignment horizontal="center" vertical="center" wrapText="1"/>
    </xf>
    <xf numFmtId="2" fontId="2" fillId="0" borderId="1" applyAlignment="1" pivotButton="0" quotePrefix="0" xfId="0">
      <alignment horizontal="center" vertical="center" wrapText="1"/>
    </xf>
    <xf numFmtId="4" fontId="2" fillId="0" borderId="1" applyAlignment="1" pivotButton="0" quotePrefix="0" xfId="0">
      <alignment horizontal="center" vertical="center" wrapText="1"/>
    </xf>
    <xf numFmtId="164" fontId="2" fillId="0" borderId="1" applyAlignment="1" pivotButton="0" quotePrefix="0" xfId="0">
      <alignment horizontal="center" vertical="center" wrapText="1"/>
    </xf>
    <xf numFmtId="0" fontId="5" fillId="0" borderId="0" pivotButton="0" quotePrefix="0" xfId="0"/>
    <xf numFmtId="165" fontId="2" fillId="0" borderId="1" applyAlignment="1" pivotButton="0" quotePrefix="0" xfId="0">
      <alignment horizontal="center" vertical="center" wrapText="1"/>
    </xf>
    <xf numFmtId="0" fontId="2" fillId="0" borderId="0" applyAlignment="1" pivotButton="0" quotePrefix="0" xfId="0">
      <alignment vertical="top" wrapText="1"/>
    </xf>
    <xf numFmtId="0" fontId="2" fillId="0" borderId="1" pivotButton="0" quotePrefix="0" xfId="0"/>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source</author>
    <author>note</author>
  </authors>
  <commentList>
    <comment ref="D6" authorId="0" shapeId="0">
      <text>
        <t>Provided by the user (Hugging Face run).</t>
      </text>
    </comment>
    <comment ref="E6" authorId="0" shapeId="0">
      <text>
        <t>Provided by the user (Hugging Face run).</t>
      </text>
    </comment>
    <comment ref="F6" authorId="0" shapeId="0">
      <text>
        <t>Provided by the user (Hugging Face run).</t>
      </text>
    </comment>
    <comment ref="G6" authorId="1" shapeId="0">
      <text>
        <t>Derived: 60 ÷ avg image generation time.</t>
      </text>
    </comment>
    <comment ref="R6" authorId="1" shapeId="0">
      <text>
        <t>Download size of the checkpoint used on MLX.</t>
      </text>
    </comment>
    <comment ref="T6" authorId="1" shapeId="0">
      <text>
        <t>Derived: 1024 × 1024 pixels ÷ avg image generation time (all MLX images are 1024x1024).</t>
      </text>
    </comment>
    <comment ref="D7" authorId="0" shapeId="0">
      <text>
        <t>Provided by the user (Hugging Face run).</t>
      </text>
    </comment>
    <comment ref="E7" authorId="0" shapeId="0">
      <text>
        <t>Provided by the user (Hugging Face run).</t>
      </text>
    </comment>
    <comment ref="F7" authorId="0" shapeId="0">
      <text>
        <t>Provided by the user (Hugging Face run).</t>
      </text>
    </comment>
    <comment ref="G7" authorId="1" shapeId="0">
      <text>
        <t>Derived: 60 ÷ avg image generation time.</t>
      </text>
    </comment>
    <comment ref="R31" authorId="1" shapeId="0">
      <text>
        <t>Download size of the checkpoint used on MLX.</t>
      </text>
    </comment>
    <comment ref="T31" authorId="1" shapeId="0">
      <text>
        <t>Derived: 1024 × 1024 pixels ÷ avg image generation time (all MLX images are 1024x1024).</t>
      </text>
    </comment>
    <comment ref="D32" authorId="0" shapeId="0">
      <text>
        <t>Provided by the user (Hugging Face run).</t>
      </text>
    </comment>
    <comment ref="E32" authorId="0" shapeId="0">
      <text>
        <t>Provided by the user (Hugging Face run).</t>
      </text>
    </comment>
    <comment ref="F32" authorId="0" shapeId="0">
      <text>
        <t>Provided by the user (Hugging Face run).</t>
      </text>
    </comment>
    <comment ref="G32" authorId="1" shapeId="0">
      <text>
        <t>Derived: 60 ÷ avg image generation time.</t>
      </text>
    </comment>
    <comment ref="D33" authorId="0" shapeId="0">
      <text>
        <t>Provided by the user (Hugging Face run).</t>
      </text>
    </comment>
    <comment ref="E33" authorId="0" shapeId="0">
      <text>
        <t>Provided by the user (Hugging Face run).</t>
      </text>
    </comment>
    <comment ref="F33" authorId="0" shapeId="0">
      <text>
        <t>Provided by the user (Hugging Face run).</t>
      </text>
    </comment>
    <comment ref="G33" authorId="1" shapeId="0">
      <text>
        <t>Derived: 60 ÷ avg image generation time.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C47"/>
  <sheetViews>
    <sheetView workbookViewId="0">
      <pane xSplit="1" topLeftCell="B1" activePane="topRight" state="frozen"/>
      <selection pane="topRight" activeCell="A1" sqref="A1"/>
    </sheetView>
  </sheetViews>
  <sheetFormatPr baseColWidth="8" defaultRowHeight="15"/>
  <cols>
    <col width="14" customWidth="1" min="1" max="1"/>
    <col width="3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28"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s>
  <sheetData>
    <row r="1">
      <c r="A1" s="1" t="inlineStr">
        <is>
          <t>TTI model metrics: comparison for Stable-Diffusion-XL family Hugging Face framework vs MLX framework</t>
        </is>
      </c>
    </row>
    <row r="3">
      <c r="A3" s="2" t="inlineStr">
        <is>
          <t>Size</t>
        </is>
      </c>
      <c r="B3" s="3" t="inlineStr">
        <is>
          <t>Hugging Face framework</t>
        </is>
      </c>
      <c r="C3" s="3" t="n"/>
      <c r="D3" s="3" t="n"/>
      <c r="E3" s="3" t="n"/>
      <c r="F3" s="3" t="n"/>
      <c r="G3" s="3" t="n"/>
      <c r="H3" s="3" t="n"/>
      <c r="I3" s="3" t="n"/>
      <c r="J3" s="3" t="n"/>
      <c r="K3" s="3" t="n"/>
      <c r="L3" s="3" t="n"/>
      <c r="M3" s="3" t="n"/>
      <c r="N3" s="3" t="n"/>
      <c r="O3" s="3" t="n"/>
      <c r="P3" s="4" t="inlineStr">
        <is>
          <t>MLX framework</t>
        </is>
      </c>
      <c r="Q3" s="4" t="n"/>
      <c r="R3" s="4" t="n"/>
      <c r="S3" s="4" t="n"/>
      <c r="T3" s="4" t="n"/>
      <c r="U3" s="4" t="n"/>
      <c r="V3" s="4" t="n"/>
      <c r="W3" s="4" t="n"/>
      <c r="X3" s="4" t="n"/>
      <c r="Y3" s="4" t="n"/>
      <c r="Z3" s="4" t="n"/>
      <c r="AA3" s="4" t="n"/>
      <c r="AB3" s="4" t="n"/>
      <c r="AC3" s="4" t="n"/>
    </row>
    <row r="4" ht="48" customHeight="1">
      <c r="A4" s="2" t="n"/>
      <c r="B4" s="3" t="inlineStr">
        <is>
          <t>Model</t>
        </is>
      </c>
      <c r="C4" s="3" t="inlineStr">
        <is>
          <t>Parameters</t>
        </is>
      </c>
      <c r="D4" s="3" t="inlineStr">
        <is>
          <t>Model Size (GB)</t>
        </is>
      </c>
      <c r="E4" s="3" t="inlineStr">
        <is>
          <t>Avg Image Generation Time (s)</t>
        </is>
      </c>
      <c r="F4" s="3" t="inlineStr">
        <is>
          <t>Avg Image Generation Rate (pixels/s)</t>
        </is>
      </c>
      <c r="G4" s="3" t="inlineStr">
        <is>
          <t>Avg Inference Rate (images/min)</t>
        </is>
      </c>
      <c r="H4" s="3" t="inlineStr">
        <is>
          <t>Resolution (px)</t>
        </is>
      </c>
      <c r="I4" s="3" t="inlineStr">
        <is>
          <t>Steps</t>
        </is>
      </c>
      <c r="J4" s="3" t="inlineStr">
        <is>
          <t>Guidance</t>
        </is>
      </c>
      <c r="K4" s="3" t="inlineStr">
        <is>
          <t>Avg Time per Step (ms)</t>
        </is>
      </c>
      <c r="L4" s="3" t="inlineStr">
        <is>
          <t>Avg Time to First Step (ms)</t>
        </is>
      </c>
      <c r="M4" s="3" t="inlineStr">
        <is>
          <t>Peak Memory (GB)</t>
        </is>
      </c>
      <c r="N4" s="3" t="inlineStr">
        <is>
          <t>Avg Input Words</t>
        </is>
      </c>
      <c r="O4" s="3" t="inlineStr">
        <is>
          <t>Avg Input Characters</t>
        </is>
      </c>
      <c r="P4" s="4" t="inlineStr">
        <is>
          <t>Model</t>
        </is>
      </c>
      <c r="Q4" s="4" t="inlineStr">
        <is>
          <t>Parameters</t>
        </is>
      </c>
      <c r="R4" s="4" t="inlineStr">
        <is>
          <t>Model Size (GB)</t>
        </is>
      </c>
      <c r="S4" s="4" t="inlineStr">
        <is>
          <t>Avg Image Generation Time (s)</t>
        </is>
      </c>
      <c r="T4" s="4" t="inlineStr">
        <is>
          <t>Avg Image Generation Rate (pixels/s)</t>
        </is>
      </c>
      <c r="U4" s="4" t="inlineStr">
        <is>
          <t>Avg Inference Rate (images/min)</t>
        </is>
      </c>
      <c r="V4" s="4" t="inlineStr">
        <is>
          <t>Resolution (px)</t>
        </is>
      </c>
      <c r="W4" s="4" t="inlineStr">
        <is>
          <t>Steps</t>
        </is>
      </c>
      <c r="X4" s="4" t="inlineStr">
        <is>
          <t>Guidance</t>
        </is>
      </c>
      <c r="Y4" s="4" t="inlineStr">
        <is>
          <t>Avg Time per Step (ms)</t>
        </is>
      </c>
      <c r="Z4" s="4" t="inlineStr">
        <is>
          <t>Avg Time to First Step (ms)</t>
        </is>
      </c>
      <c r="AA4" s="4" t="inlineStr">
        <is>
          <t>Peak Memory (GB)</t>
        </is>
      </c>
      <c r="AB4" s="4" t="inlineStr">
        <is>
          <t>Avg Input Words</t>
        </is>
      </c>
      <c r="AC4" s="4" t="inlineStr">
        <is>
          <t>Avg Input Characters</t>
        </is>
      </c>
    </row>
    <row r="5">
      <c r="A5" s="5" t="inlineStr">
        <is>
          <t>Small</t>
        </is>
      </c>
      <c r="B5" s="6" t="inlineStr">
        <is>
          <t>No Small model in the HF registry</t>
        </is>
      </c>
      <c r="C5" s="6" t="inlineStr">
        <is>
          <t>NA</t>
        </is>
      </c>
      <c r="D5" s="6" t="inlineStr">
        <is>
          <t>NA</t>
        </is>
      </c>
      <c r="E5" s="6" t="inlineStr">
        <is>
          <t>NA</t>
        </is>
      </c>
      <c r="F5" s="6" t="inlineStr">
        <is>
          <t>NA</t>
        </is>
      </c>
      <c r="G5" s="6" t="inlineStr">
        <is>
          <t>NA</t>
        </is>
      </c>
      <c r="H5" s="6" t="inlineStr">
        <is>
          <t>NA</t>
        </is>
      </c>
      <c r="I5" s="6" t="inlineStr">
        <is>
          <t>NA</t>
        </is>
      </c>
      <c r="J5" s="6" t="inlineStr">
        <is>
          <t>NA</t>
        </is>
      </c>
      <c r="K5" s="6" t="inlineStr">
        <is>
          <t>NA</t>
        </is>
      </c>
      <c r="L5" s="6" t="inlineStr">
        <is>
          <t>NA</t>
        </is>
      </c>
      <c r="M5" s="6" t="inlineStr">
        <is>
          <t>NA</t>
        </is>
      </c>
      <c r="N5" s="6" t="inlineStr">
        <is>
          <t>NA</t>
        </is>
      </c>
      <c r="O5" s="6" t="inlineStr">
        <is>
          <t>NA</t>
        </is>
      </c>
      <c r="P5" s="6" t="inlineStr">
        <is>
          <t>No Small Stable-Diffusion-XL model on MLX</t>
        </is>
      </c>
      <c r="Q5" s="6" t="inlineStr">
        <is>
          <t>NA</t>
        </is>
      </c>
      <c r="R5" s="6" t="inlineStr">
        <is>
          <t>NA</t>
        </is>
      </c>
      <c r="S5" s="6" t="inlineStr">
        <is>
          <t>NA</t>
        </is>
      </c>
      <c r="T5" s="6" t="inlineStr">
        <is>
          <t>NA</t>
        </is>
      </c>
      <c r="U5" s="6" t="inlineStr">
        <is>
          <t>NA</t>
        </is>
      </c>
      <c r="V5" s="6" t="inlineStr">
        <is>
          <t>NA</t>
        </is>
      </c>
      <c r="W5" s="6" t="inlineStr">
        <is>
          <t>NA</t>
        </is>
      </c>
      <c r="X5" s="6" t="inlineStr">
        <is>
          <t>NA</t>
        </is>
      </c>
      <c r="Y5" s="6" t="inlineStr">
        <is>
          <t>NA</t>
        </is>
      </c>
      <c r="Z5" s="6" t="inlineStr">
        <is>
          <t>NA</t>
        </is>
      </c>
      <c r="AA5" s="6" t="inlineStr">
        <is>
          <t>NA</t>
        </is>
      </c>
      <c r="AB5" s="6" t="inlineStr">
        <is>
          <t>NA</t>
        </is>
      </c>
      <c r="AC5" s="6" t="inlineStr">
        <is>
          <t>NA</t>
        </is>
      </c>
    </row>
    <row r="6">
      <c r="A6" s="5" t="inlineStr">
        <is>
          <t>Medium</t>
        </is>
      </c>
      <c r="B6" s="6" t="inlineStr">
        <is>
          <t>stable-diffusion-xl-base-1.0</t>
        </is>
      </c>
      <c r="C6" s="6" t="inlineStr">
        <is>
          <t>3.47B</t>
        </is>
      </c>
      <c r="D6" s="7" t="n">
        <v>6.62</v>
      </c>
      <c r="E6" s="7" t="n">
        <v>48.61</v>
      </c>
      <c r="F6" s="8" t="n">
        <v>21599.89</v>
      </c>
      <c r="G6" s="9">
        <f>60/E6</f>
        <v/>
      </c>
      <c r="H6" s="6" t="inlineStr">
        <is>
          <t>NA</t>
        </is>
      </c>
      <c r="I6" s="6" t="inlineStr">
        <is>
          <t>NA</t>
        </is>
      </c>
      <c r="J6" s="6" t="inlineStr">
        <is>
          <t>NA</t>
        </is>
      </c>
      <c r="K6" s="6" t="inlineStr">
        <is>
          <t>NA</t>
        </is>
      </c>
      <c r="L6" s="6" t="inlineStr">
        <is>
          <t>NA</t>
        </is>
      </c>
      <c r="M6" s="6" t="inlineStr">
        <is>
          <t>NA</t>
        </is>
      </c>
      <c r="N6" s="6" t="inlineStr">
        <is>
          <t>NA</t>
        </is>
      </c>
      <c r="O6" s="6" t="inlineStr">
        <is>
          <t>NA</t>
        </is>
      </c>
      <c r="P6" s="6" t="inlineStr">
        <is>
          <t>stable-diffusion-xl-base-1.0</t>
        </is>
      </c>
      <c r="Q6" s="6" t="inlineStr">
        <is>
          <t>3.47B</t>
        </is>
      </c>
      <c r="R6" s="9" t="n">
        <v>7.11</v>
      </c>
      <c r="S6" s="9">
        <f>AVERAGE(MLX_per_prompt!M2:M11)</f>
        <v/>
      </c>
      <c r="T6" s="10">
        <f>1048576/S6</f>
        <v/>
      </c>
      <c r="U6" s="9">
        <f>AVERAGE(MLX_per_prompt!L2:L11)</f>
        <v/>
      </c>
      <c r="V6" s="6" t="inlineStr">
        <is>
          <t>1024x1024</t>
        </is>
      </c>
      <c r="W6" s="6" t="n">
        <v>30</v>
      </c>
      <c r="X6" s="11" t="n">
        <v>7</v>
      </c>
      <c r="Y6" s="11">
        <f>AVERAGE(MLX_per_prompt!K2:K11)</f>
        <v/>
      </c>
      <c r="Z6" s="11">
        <f>AVERAGE(MLX_per_prompt!J2:J11)</f>
        <v/>
      </c>
      <c r="AA6" s="9" t="n">
        <v>21.37</v>
      </c>
      <c r="AB6" s="11">
        <f>AVERAGE(MLX_per_prompt!H2:H11)</f>
        <v/>
      </c>
      <c r="AC6" s="11">
        <f>AVERAGE(MLX_per_prompt!I2:I11)</f>
        <v/>
      </c>
    </row>
    <row r="7">
      <c r="A7" s="5" t="inlineStr">
        <is>
          <t>Large</t>
        </is>
      </c>
      <c r="B7" s="6" t="inlineStr">
        <is>
          <t>stable-diffusion-3.5-large-turbo</t>
        </is>
      </c>
      <c r="C7" s="6" t="inlineStr">
        <is>
          <t>8.1B</t>
        </is>
      </c>
      <c r="D7" s="7" t="n">
        <v>25.7</v>
      </c>
      <c r="E7" s="7" t="n">
        <v>5.57</v>
      </c>
      <c r="F7" s="8" t="n">
        <v>188538.44</v>
      </c>
      <c r="G7" s="9">
        <f>60/E7</f>
        <v/>
      </c>
      <c r="H7" s="6" t="inlineStr">
        <is>
          <t>NA</t>
        </is>
      </c>
      <c r="I7" s="6" t="inlineStr">
        <is>
          <t>NA</t>
        </is>
      </c>
      <c r="J7" s="6" t="inlineStr">
        <is>
          <t>NA</t>
        </is>
      </c>
      <c r="K7" s="6" t="inlineStr">
        <is>
          <t>NA</t>
        </is>
      </c>
      <c r="L7" s="6" t="inlineStr">
        <is>
          <t>NA</t>
        </is>
      </c>
      <c r="M7" s="6" t="inlineStr">
        <is>
          <t>NA</t>
        </is>
      </c>
      <c r="N7" s="6" t="inlineStr">
        <is>
          <t>NA</t>
        </is>
      </c>
      <c r="O7" s="6" t="inlineStr">
        <is>
          <t>NA</t>
        </is>
      </c>
      <c r="P7" s="6" t="inlineStr">
        <is>
          <t>No Large Stable-Diffusion-XL model on MLX</t>
        </is>
      </c>
      <c r="Q7" s="6" t="inlineStr">
        <is>
          <t>NA</t>
        </is>
      </c>
      <c r="R7" s="6" t="inlineStr">
        <is>
          <t>NA</t>
        </is>
      </c>
      <c r="S7" s="6" t="inlineStr">
        <is>
          <t>NA</t>
        </is>
      </c>
      <c r="T7" s="6" t="inlineStr">
        <is>
          <t>NA</t>
        </is>
      </c>
      <c r="U7" s="6" t="inlineStr">
        <is>
          <t>NA</t>
        </is>
      </c>
      <c r="V7" s="6" t="inlineStr">
        <is>
          <t>NA</t>
        </is>
      </c>
      <c r="W7" s="6" t="inlineStr">
        <is>
          <t>NA</t>
        </is>
      </c>
      <c r="X7" s="6" t="inlineStr">
        <is>
          <t>NA</t>
        </is>
      </c>
      <c r="Y7" s="6" t="inlineStr">
        <is>
          <t>NA</t>
        </is>
      </c>
      <c r="Z7" s="6" t="inlineStr">
        <is>
          <t>NA</t>
        </is>
      </c>
      <c r="AA7" s="6" t="inlineStr">
        <is>
          <t>NA</t>
        </is>
      </c>
      <c r="AB7" s="6" t="inlineStr">
        <is>
          <t>NA</t>
        </is>
      </c>
      <c r="AC7" s="6" t="inlineStr">
        <is>
          <t>NA</t>
        </is>
      </c>
    </row>
    <row r="9">
      <c r="A9" s="12" t="inlineStr">
        <is>
          <t>MLX vs Hugging Face</t>
        </is>
      </c>
    </row>
    <row r="10">
      <c r="A10" s="2" t="inlineStr">
        <is>
          <t>Size</t>
        </is>
      </c>
      <c r="B10" s="2" t="inlineStr">
        <is>
          <t>Image generation rate: MLX ÷ HF (x faster)</t>
        </is>
      </c>
      <c r="C10" s="2" t="inlineStr">
        <is>
          <t>Image generation time: HF ÷ MLX (x shorter)</t>
        </is>
      </c>
      <c r="D10" s="2" t="inlineStr">
        <is>
          <t>Models compared (HF vs MLX)</t>
        </is>
      </c>
    </row>
    <row r="11">
      <c r="A11" s="6" t="inlineStr">
        <is>
          <t>Small</t>
        </is>
      </c>
      <c r="B11" s="6" t="inlineStr">
        <is>
          <t>NA</t>
        </is>
      </c>
      <c r="C11" s="6" t="inlineStr">
        <is>
          <t>NA</t>
        </is>
      </c>
      <c r="D11" s="6">
        <f>B5&amp;" vs "&amp;P5</f>
        <v/>
      </c>
    </row>
    <row r="12">
      <c r="A12" s="6" t="inlineStr">
        <is>
          <t>Medium</t>
        </is>
      </c>
      <c r="B12" s="13">
        <f>T6/F6</f>
        <v/>
      </c>
      <c r="C12" s="13">
        <f>E6/S6</f>
        <v/>
      </c>
      <c r="D12" s="6">
        <f>B6&amp;" vs "&amp;P6</f>
        <v/>
      </c>
    </row>
    <row r="13">
      <c r="A13" s="6" t="inlineStr">
        <is>
          <t>Large</t>
        </is>
      </c>
      <c r="B13" s="6" t="inlineStr">
        <is>
          <t>NA</t>
        </is>
      </c>
      <c r="C13" s="6" t="inlineStr">
        <is>
          <t>NA</t>
        </is>
      </c>
      <c r="D13" s="6">
        <f>B7&amp;" vs "&amp;P7</f>
        <v/>
      </c>
    </row>
    <row r="15">
      <c r="A15" s="12" t="inlineStr">
        <is>
          <t>Comparison insights</t>
        </is>
      </c>
    </row>
    <row r="16" ht="32" customHeight="1">
      <c r="A16" s="14" t="inlineStr">
        <is>
          <t>1. Same model, both frameworks: the Medium row compares stable-diffusion-xl-base-1.0 with itself. MLX generates a 1024x1024 image in 12.26 s vs 48.61 s on Hugging Face, 4.0x faster (85,555 vs 21,599.89 pixels/s).</t>
        </is>
      </c>
    </row>
    <row r="17" ht="32" customHeight="1">
      <c r="A17" s="14" t="inlineStr">
        <is>
          <t>2. SDXL runs 30 denoising steps at ~409 ms each on MLX, with guidance 7.0 and 353 ms before the first step. The Hugging Face steps and guidance weren't provided, so different settings could account for part of the gap.</t>
        </is>
      </c>
    </row>
    <row r="18" ht="32" customHeight="1">
      <c r="A18" s="14" t="inlineStr">
        <is>
          <t>3. Large: Hugging Face's stable-diffusion-3.5-large-turbo takes only 5.57 s per image (188,538.44 pixels/s), faster than SDXL on either framework despite being the bigger model, because 'turbo' models are distilled to need only a few denoising steps.</t>
        </is>
      </c>
    </row>
    <row r="19" ht="32" customHeight="1">
      <c r="A19" s="14" t="inlineStr">
        <is>
          <t>4. There is no Large Stable Diffusion model on MLX: SD3.5-large-turbo needs approved Hugging Face access, so it couldn't be downloaded. Small is NA on both sides.</t>
        </is>
      </c>
    </row>
    <row r="20" ht="32" customHeight="1">
      <c r="A20" s="14" t="inlineStr">
        <is>
          <t>5. Model size is similar on both frameworks (7.11 GB on MLX vs 6.62 GB on Hugging Face). MLX peak memory was 21.4 GB, partly because the image decoder (VAE) runs in full precision to avoid overflow; Hugging Face peak memory wasn't provided.</t>
        </is>
      </c>
    </row>
    <row r="21" ht="32" customHeight="1">
      <c r="A21" s="14" t="inlineStr">
        <is>
          <t>6. Heat slowly lengthens MLX times over the 10 prompts: from 11.52 s for the first image to 12.46 s for the last.</t>
        </is>
      </c>
    </row>
    <row r="27">
      <c r="A27" s="1" t="inlineStr">
        <is>
          <t>TTI model metrics: comparison for FLUX.2-klein family Hugging Face framework vs MLX framework</t>
        </is>
      </c>
    </row>
    <row r="29">
      <c r="A29" s="2" t="inlineStr">
        <is>
          <t>Size</t>
        </is>
      </c>
      <c r="B29" s="3" t="inlineStr">
        <is>
          <t>Hugging Face framework</t>
        </is>
      </c>
      <c r="C29" s="3" t="n"/>
      <c r="D29" s="3" t="n"/>
      <c r="E29" s="3" t="n"/>
      <c r="F29" s="3" t="n"/>
      <c r="G29" s="3" t="n"/>
      <c r="H29" s="3" t="n"/>
      <c r="I29" s="3" t="n"/>
      <c r="J29" s="3" t="n"/>
      <c r="K29" s="3" t="n"/>
      <c r="L29" s="3" t="n"/>
      <c r="M29" s="3" t="n"/>
      <c r="N29" s="3" t="n"/>
      <c r="O29" s="3" t="n"/>
      <c r="P29" s="4" t="inlineStr">
        <is>
          <t>MLX framework</t>
        </is>
      </c>
      <c r="Q29" s="4" t="n"/>
      <c r="R29" s="4" t="n"/>
      <c r="S29" s="4" t="n"/>
      <c r="T29" s="4" t="n"/>
      <c r="U29" s="4" t="n"/>
      <c r="V29" s="4" t="n"/>
      <c r="W29" s="4" t="n"/>
      <c r="X29" s="4" t="n"/>
      <c r="Y29" s="4" t="n"/>
      <c r="Z29" s="4" t="n"/>
      <c r="AA29" s="4" t="n"/>
      <c r="AB29" s="4" t="n"/>
      <c r="AC29" s="4" t="n"/>
    </row>
    <row r="30" ht="48" customHeight="1">
      <c r="A30" s="2" t="n"/>
      <c r="B30" s="3" t="inlineStr">
        <is>
          <t>Model</t>
        </is>
      </c>
      <c r="C30" s="3" t="inlineStr">
        <is>
          <t>Parameters</t>
        </is>
      </c>
      <c r="D30" s="3" t="inlineStr">
        <is>
          <t>Model Size (GB)</t>
        </is>
      </c>
      <c r="E30" s="3" t="inlineStr">
        <is>
          <t>Avg Image Generation Time (s)</t>
        </is>
      </c>
      <c r="F30" s="3" t="inlineStr">
        <is>
          <t>Avg Image Generation Rate (pixels/s)</t>
        </is>
      </c>
      <c r="G30" s="3" t="inlineStr">
        <is>
          <t>Avg Inference Rate (images/min)</t>
        </is>
      </c>
      <c r="H30" s="3" t="inlineStr">
        <is>
          <t>Resolution (px)</t>
        </is>
      </c>
      <c r="I30" s="3" t="inlineStr">
        <is>
          <t>Steps</t>
        </is>
      </c>
      <c r="J30" s="3" t="inlineStr">
        <is>
          <t>Guidance</t>
        </is>
      </c>
      <c r="K30" s="3" t="inlineStr">
        <is>
          <t>Avg Time per Step (ms)</t>
        </is>
      </c>
      <c r="L30" s="3" t="inlineStr">
        <is>
          <t>Avg Time to First Step (ms)</t>
        </is>
      </c>
      <c r="M30" s="3" t="inlineStr">
        <is>
          <t>Peak Memory (GB)</t>
        </is>
      </c>
      <c r="N30" s="3" t="inlineStr">
        <is>
          <t>Avg Input Words</t>
        </is>
      </c>
      <c r="O30" s="3" t="inlineStr">
        <is>
          <t>Avg Input Characters</t>
        </is>
      </c>
      <c r="P30" s="4" t="inlineStr">
        <is>
          <t>Model</t>
        </is>
      </c>
      <c r="Q30" s="4" t="inlineStr">
        <is>
          <t>Parameters</t>
        </is>
      </c>
      <c r="R30" s="4" t="inlineStr">
        <is>
          <t>Model Size (GB)</t>
        </is>
      </c>
      <c r="S30" s="4" t="inlineStr">
        <is>
          <t>Avg Image Generation Time (s)</t>
        </is>
      </c>
      <c r="T30" s="4" t="inlineStr">
        <is>
          <t>Avg Image Generation Rate (pixels/s)</t>
        </is>
      </c>
      <c r="U30" s="4" t="inlineStr">
        <is>
          <t>Avg Inference Rate (images/min)</t>
        </is>
      </c>
      <c r="V30" s="4" t="inlineStr">
        <is>
          <t>Resolution (px)</t>
        </is>
      </c>
      <c r="W30" s="4" t="inlineStr">
        <is>
          <t>Steps</t>
        </is>
      </c>
      <c r="X30" s="4" t="inlineStr">
        <is>
          <t>Guidance</t>
        </is>
      </c>
      <c r="Y30" s="4" t="inlineStr">
        <is>
          <t>Avg Time per Step (ms)</t>
        </is>
      </c>
      <c r="Z30" s="4" t="inlineStr">
        <is>
          <t>Avg Time to First Step (ms)</t>
        </is>
      </c>
      <c r="AA30" s="4" t="inlineStr">
        <is>
          <t>Peak Memory (GB)</t>
        </is>
      </c>
      <c r="AB30" s="4" t="inlineStr">
        <is>
          <t>Avg Input Words</t>
        </is>
      </c>
      <c r="AC30" s="4" t="inlineStr">
        <is>
          <t>Avg Input Characters</t>
        </is>
      </c>
    </row>
    <row r="31">
      <c r="A31" s="5" t="inlineStr">
        <is>
          <t>Small</t>
        </is>
      </c>
      <c r="B31" s="6" t="inlineStr">
        <is>
          <t>No Small model in the HF registry</t>
        </is>
      </c>
      <c r="C31" s="6" t="inlineStr">
        <is>
          <t>NA</t>
        </is>
      </c>
      <c r="D31" s="6" t="inlineStr">
        <is>
          <t>NA</t>
        </is>
      </c>
      <c r="E31" s="6" t="inlineStr">
        <is>
          <t>NA</t>
        </is>
      </c>
      <c r="F31" s="6" t="inlineStr">
        <is>
          <t>NA</t>
        </is>
      </c>
      <c r="G31" s="6" t="inlineStr">
        <is>
          <t>NA</t>
        </is>
      </c>
      <c r="H31" s="6" t="inlineStr">
        <is>
          <t>NA</t>
        </is>
      </c>
      <c r="I31" s="6" t="inlineStr">
        <is>
          <t>NA</t>
        </is>
      </c>
      <c r="J31" s="6" t="inlineStr">
        <is>
          <t>NA</t>
        </is>
      </c>
      <c r="K31" s="6" t="inlineStr">
        <is>
          <t>NA</t>
        </is>
      </c>
      <c r="L31" s="6" t="inlineStr">
        <is>
          <t>NA</t>
        </is>
      </c>
      <c r="M31" s="6" t="inlineStr">
        <is>
          <t>NA</t>
        </is>
      </c>
      <c r="N31" s="6" t="inlineStr">
        <is>
          <t>NA</t>
        </is>
      </c>
      <c r="O31" s="6" t="inlineStr">
        <is>
          <t>NA</t>
        </is>
      </c>
      <c r="P31" s="6" t="inlineStr">
        <is>
          <t>FLUX.2-klein-4B</t>
        </is>
      </c>
      <c r="Q31" s="6" t="inlineStr">
        <is>
          <t>4B</t>
        </is>
      </c>
      <c r="R31" s="9" t="n">
        <v>23.72</v>
      </c>
      <c r="S31" s="9">
        <f>AVERAGE(MLX_per_prompt!M12:M21)</f>
        <v/>
      </c>
      <c r="T31" s="10">
        <f>1048576/S31</f>
        <v/>
      </c>
      <c r="U31" s="9">
        <f>AVERAGE(MLX_per_prompt!L12:L21)</f>
        <v/>
      </c>
      <c r="V31" s="6" t="inlineStr">
        <is>
          <t>1024x1024</t>
        </is>
      </c>
      <c r="W31" s="6" t="n">
        <v>4</v>
      </c>
      <c r="X31" s="11" t="n">
        <v>1</v>
      </c>
      <c r="Y31" s="11">
        <f>AVERAGE(MLX_per_prompt!K12:K21)</f>
        <v/>
      </c>
      <c r="Z31" s="6" t="inlineStr">
        <is>
          <t>NA</t>
        </is>
      </c>
      <c r="AA31" s="9" t="n">
        <v>18.66</v>
      </c>
      <c r="AB31" s="11">
        <f>AVERAGE(MLX_per_prompt!H12:H21)</f>
        <v/>
      </c>
      <c r="AC31" s="11">
        <f>AVERAGE(MLX_per_prompt!I12:I21)</f>
        <v/>
      </c>
    </row>
    <row r="32">
      <c r="A32" s="5" t="inlineStr">
        <is>
          <t>Medium</t>
        </is>
      </c>
      <c r="B32" s="6" t="inlineStr">
        <is>
          <t>stable-diffusion-xl-base-1.0</t>
        </is>
      </c>
      <c r="C32" s="6" t="inlineStr">
        <is>
          <t>3.47B</t>
        </is>
      </c>
      <c r="D32" s="7" t="n">
        <v>6.62</v>
      </c>
      <c r="E32" s="7" t="n">
        <v>48.61</v>
      </c>
      <c r="F32" s="8" t="n">
        <v>21599.89</v>
      </c>
      <c r="G32" s="9">
        <f>60/E32</f>
        <v/>
      </c>
      <c r="H32" s="6" t="inlineStr">
        <is>
          <t>NA</t>
        </is>
      </c>
      <c r="I32" s="6" t="inlineStr">
        <is>
          <t>NA</t>
        </is>
      </c>
      <c r="J32" s="6" t="inlineStr">
        <is>
          <t>NA</t>
        </is>
      </c>
      <c r="K32" s="6" t="inlineStr">
        <is>
          <t>NA</t>
        </is>
      </c>
      <c r="L32" s="6" t="inlineStr">
        <is>
          <t>NA</t>
        </is>
      </c>
      <c r="M32" s="6" t="inlineStr">
        <is>
          <t>NA</t>
        </is>
      </c>
      <c r="N32" s="6" t="inlineStr">
        <is>
          <t>NA</t>
        </is>
      </c>
      <c r="O32" s="6" t="inlineStr">
        <is>
          <t>NA</t>
        </is>
      </c>
      <c r="P32" s="6" t="inlineStr">
        <is>
          <t>No Medium FLUX.2-klein model on MLX</t>
        </is>
      </c>
      <c r="Q32" s="6" t="inlineStr">
        <is>
          <t>NA</t>
        </is>
      </c>
      <c r="R32" s="6" t="inlineStr">
        <is>
          <t>NA</t>
        </is>
      </c>
      <c r="S32" s="6" t="inlineStr">
        <is>
          <t>NA</t>
        </is>
      </c>
      <c r="T32" s="6" t="inlineStr">
        <is>
          <t>NA</t>
        </is>
      </c>
      <c r="U32" s="6" t="inlineStr">
        <is>
          <t>NA</t>
        </is>
      </c>
      <c r="V32" s="6" t="inlineStr">
        <is>
          <t>NA</t>
        </is>
      </c>
      <c r="W32" s="6" t="inlineStr">
        <is>
          <t>NA</t>
        </is>
      </c>
      <c r="X32" s="6" t="inlineStr">
        <is>
          <t>NA</t>
        </is>
      </c>
      <c r="Y32" s="6" t="inlineStr">
        <is>
          <t>NA</t>
        </is>
      </c>
      <c r="Z32" s="6" t="inlineStr">
        <is>
          <t>NA</t>
        </is>
      </c>
      <c r="AA32" s="6" t="inlineStr">
        <is>
          <t>NA</t>
        </is>
      </c>
      <c r="AB32" s="6" t="inlineStr">
        <is>
          <t>NA</t>
        </is>
      </c>
      <c r="AC32" s="6" t="inlineStr">
        <is>
          <t>NA</t>
        </is>
      </c>
    </row>
    <row r="33">
      <c r="A33" s="5" t="inlineStr">
        <is>
          <t>Large</t>
        </is>
      </c>
      <c r="B33" s="6" t="inlineStr">
        <is>
          <t>stable-diffusion-3.5-large-turbo</t>
        </is>
      </c>
      <c r="C33" s="6" t="inlineStr">
        <is>
          <t>8.1B</t>
        </is>
      </c>
      <c r="D33" s="7" t="n">
        <v>25.7</v>
      </c>
      <c r="E33" s="7" t="n">
        <v>5.57</v>
      </c>
      <c r="F33" s="8" t="n">
        <v>188538.44</v>
      </c>
      <c r="G33" s="9">
        <f>60/E33</f>
        <v/>
      </c>
      <c r="H33" s="6" t="inlineStr">
        <is>
          <t>NA</t>
        </is>
      </c>
      <c r="I33" s="6" t="inlineStr">
        <is>
          <t>NA</t>
        </is>
      </c>
      <c r="J33" s="6" t="inlineStr">
        <is>
          <t>NA</t>
        </is>
      </c>
      <c r="K33" s="6" t="inlineStr">
        <is>
          <t>NA</t>
        </is>
      </c>
      <c r="L33" s="6" t="inlineStr">
        <is>
          <t>NA</t>
        </is>
      </c>
      <c r="M33" s="6" t="inlineStr">
        <is>
          <t>NA</t>
        </is>
      </c>
      <c r="N33" s="6" t="inlineStr">
        <is>
          <t>NA</t>
        </is>
      </c>
      <c r="O33" s="6" t="inlineStr">
        <is>
          <t>NA</t>
        </is>
      </c>
      <c r="P33" s="6" t="inlineStr">
        <is>
          <t>No Large FLUX.2-klein model on MLX</t>
        </is>
      </c>
      <c r="Q33" s="6" t="inlineStr">
        <is>
          <t>NA</t>
        </is>
      </c>
      <c r="R33" s="6" t="inlineStr">
        <is>
          <t>NA</t>
        </is>
      </c>
      <c r="S33" s="6" t="inlineStr">
        <is>
          <t>NA</t>
        </is>
      </c>
      <c r="T33" s="6" t="inlineStr">
        <is>
          <t>NA</t>
        </is>
      </c>
      <c r="U33" s="6" t="inlineStr">
        <is>
          <t>NA</t>
        </is>
      </c>
      <c r="V33" s="6" t="inlineStr">
        <is>
          <t>NA</t>
        </is>
      </c>
      <c r="W33" s="6" t="inlineStr">
        <is>
          <t>NA</t>
        </is>
      </c>
      <c r="X33" s="6" t="inlineStr">
        <is>
          <t>NA</t>
        </is>
      </c>
      <c r="Y33" s="6" t="inlineStr">
        <is>
          <t>NA</t>
        </is>
      </c>
      <c r="Z33" s="6" t="inlineStr">
        <is>
          <t>NA</t>
        </is>
      </c>
      <c r="AA33" s="6" t="inlineStr">
        <is>
          <t>NA</t>
        </is>
      </c>
      <c r="AB33" s="6" t="inlineStr">
        <is>
          <t>NA</t>
        </is>
      </c>
      <c r="AC33" s="6" t="inlineStr">
        <is>
          <t>NA</t>
        </is>
      </c>
    </row>
    <row r="35">
      <c r="A35" s="12" t="inlineStr">
        <is>
          <t>MLX vs Hugging Face</t>
        </is>
      </c>
    </row>
    <row r="36">
      <c r="A36" s="2" t="inlineStr">
        <is>
          <t>Size</t>
        </is>
      </c>
      <c r="B36" s="2" t="inlineStr">
        <is>
          <t>Image generation rate: MLX ÷ HF (x faster)</t>
        </is>
      </c>
      <c r="C36" s="2" t="inlineStr">
        <is>
          <t>Image generation time: HF ÷ MLX (x shorter)</t>
        </is>
      </c>
      <c r="D36" s="2" t="inlineStr">
        <is>
          <t>Models compared (HF vs MLX)</t>
        </is>
      </c>
    </row>
    <row r="37">
      <c r="A37" s="6" t="inlineStr">
        <is>
          <t>Small</t>
        </is>
      </c>
      <c r="B37" s="6" t="inlineStr">
        <is>
          <t>NA</t>
        </is>
      </c>
      <c r="C37" s="6" t="inlineStr">
        <is>
          <t>NA</t>
        </is>
      </c>
      <c r="D37" s="6">
        <f>B31&amp;" vs "&amp;P31</f>
        <v/>
      </c>
    </row>
    <row r="38">
      <c r="A38" s="6" t="inlineStr">
        <is>
          <t>Medium</t>
        </is>
      </c>
      <c r="B38" s="6" t="inlineStr">
        <is>
          <t>NA</t>
        </is>
      </c>
      <c r="C38" s="6" t="inlineStr">
        <is>
          <t>NA</t>
        </is>
      </c>
      <c r="D38" s="6">
        <f>B32&amp;" vs "&amp;P32</f>
        <v/>
      </c>
    </row>
    <row r="39">
      <c r="A39" s="6" t="inlineStr">
        <is>
          <t>Large</t>
        </is>
      </c>
      <c r="B39" s="6" t="inlineStr">
        <is>
          <t>NA</t>
        </is>
      </c>
      <c r="C39" s="6" t="inlineStr">
        <is>
          <t>NA</t>
        </is>
      </c>
      <c r="D39" s="6">
        <f>B33&amp;" vs "&amp;P33</f>
        <v/>
      </c>
    </row>
    <row r="41">
      <c r="A41" s="12" t="inlineStr">
        <is>
          <t>Comparison insights</t>
        </is>
      </c>
    </row>
    <row r="42" ht="32" customHeight="1">
      <c r="A42" s="14" t="inlineStr">
        <is>
          <t>1. Small: FLUX.2-klein-4B on MLX generates a 1024x1024 image in 4.27 s (245,810 pixels/s). The Hugging Face registry has no Small model, so this row has no direct comparison.</t>
        </is>
      </c>
    </row>
    <row r="43" ht="32" customHeight="1">
      <c r="A43" s="14" t="inlineStr">
        <is>
          <t>2. Against the other Hugging Face models it is 11.4x quicker than SDXL (48.61 s) and 1.3x quicker than SD3.5-large-turbo (5.57 s). These are different models, so this isn't like-for-like.</t>
        </is>
      </c>
    </row>
    <row r="44" ht="32" customHeight="1">
      <c r="A44" s="14" t="inlineStr">
        <is>
          <t>3. FLUX.2-klein runs only 4 steps at ~1066 ms each with guidance 1.0: its steps are slower than SDXL's (~409 ms) but there are far fewer of them, so it is 2.9x quicker than SDXL on MLX.</t>
        </is>
      </c>
    </row>
    <row r="45" ht="32" customHeight="1">
      <c r="A45" s="14" t="inlineStr">
        <is>
          <t>4. The download is 23.72 GB because it includes a Qwen3 text encoder; the weights are quantized to 8-bit when loaded, keeping MLX peak memory at 18.7 GB.</t>
        </is>
      </c>
    </row>
    <row r="46" ht="32" customHeight="1">
      <c r="A46" s="14" t="inlineStr">
        <is>
          <t>5. Heat slowly lengthens MLX times over the 10 prompts: from 3.94 s for the first image to 4.59 s for the last.</t>
        </is>
      </c>
    </row>
    <row r="47" ht="32" customHeight="1">
      <c r="A47" s="14" t="inlineStr">
        <is>
          <t>6. Medium and Large are NA for this family on MLX: the larger FLUX.2-klein 9B model needs approved Hugging Face access, so only the 4B model is in the registry.</t>
        </is>
      </c>
    </row>
  </sheetData>
  <mergeCells count="18">
    <mergeCell ref="A19:AC19"/>
    <mergeCell ref="A44:AC44"/>
    <mergeCell ref="A47:AC47"/>
    <mergeCell ref="A45:AC45"/>
    <mergeCell ref="A46:AC46"/>
    <mergeCell ref="A3:A4"/>
    <mergeCell ref="A17:AC17"/>
    <mergeCell ref="P3:AC3"/>
    <mergeCell ref="A18:AC18"/>
    <mergeCell ref="A29:A30"/>
    <mergeCell ref="B29:O29"/>
    <mergeCell ref="A21:AC21"/>
    <mergeCell ref="B3:O3"/>
    <mergeCell ref="P29:AC29"/>
    <mergeCell ref="A43:AC43"/>
    <mergeCell ref="A20:AC20"/>
    <mergeCell ref="A16:AC16"/>
    <mergeCell ref="A42:AC42"/>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M21"/>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2" t="inlineStr">
        <is>
          <t>family</t>
        </is>
      </c>
      <c r="B1" s="2" t="inlineStr">
        <is>
          <t>size</t>
        </is>
      </c>
      <c r="C1" s="2" t="inlineStr">
        <is>
          <t>model</t>
        </is>
      </c>
      <c r="D1" s="2" t="inlineStr">
        <is>
          <t>prompt_id</t>
        </is>
      </c>
      <c r="E1" s="2" t="inlineStr">
        <is>
          <t>resolution (px)</t>
        </is>
      </c>
      <c r="F1" s="2" t="inlineStr">
        <is>
          <t>steps</t>
        </is>
      </c>
      <c r="G1" s="2" t="inlineStr">
        <is>
          <t>guidance</t>
        </is>
      </c>
      <c r="H1" s="2" t="inlineStr">
        <is>
          <t>input_words</t>
        </is>
      </c>
      <c r="I1" s="2" t="inlineStr">
        <is>
          <t>input_characters</t>
        </is>
      </c>
      <c r="J1" s="2" t="inlineStr">
        <is>
          <t>time_to_first_step (ms)</t>
        </is>
      </c>
      <c r="K1" s="2" t="inlineStr">
        <is>
          <t>time_per_step (ms)</t>
        </is>
      </c>
      <c r="L1" s="2" t="inlineStr">
        <is>
          <t>inference_rate (images/min)</t>
        </is>
      </c>
      <c r="M1" s="2" t="inlineStr">
        <is>
          <t>inference_time (s)</t>
        </is>
      </c>
    </row>
    <row r="2">
      <c r="A2" s="15" t="inlineStr">
        <is>
          <t>Stable-Diffusion-XL</t>
        </is>
      </c>
      <c r="B2" s="15" t="inlineStr">
        <is>
          <t>MEDIUM</t>
        </is>
      </c>
      <c r="C2" s="15" t="inlineStr">
        <is>
          <t>stable-diffusion-xl-base-1.0</t>
        </is>
      </c>
      <c r="D2" s="15" t="inlineStr">
        <is>
          <t>01</t>
        </is>
      </c>
      <c r="E2" s="16" t="inlineStr">
        <is>
          <t>1024x1024</t>
        </is>
      </c>
      <c r="F2" s="16" t="n">
        <v>30</v>
      </c>
      <c r="G2" s="16" t="n">
        <v>7</v>
      </c>
      <c r="H2" s="16" t="n">
        <v>17</v>
      </c>
      <c r="I2" s="16" t="n">
        <v>87</v>
      </c>
      <c r="J2" s="16" t="n">
        <v>356.9</v>
      </c>
      <c r="K2" s="16" t="n">
        <v>384.1</v>
      </c>
      <c r="L2" s="16" t="n">
        <v>5.21</v>
      </c>
      <c r="M2" s="16" t="n">
        <v>11.524</v>
      </c>
    </row>
    <row r="3">
      <c r="A3" s="15" t="inlineStr">
        <is>
          <t>Stable-Diffusion-XL</t>
        </is>
      </c>
      <c r="B3" s="15" t="inlineStr">
        <is>
          <t>MEDIUM</t>
        </is>
      </c>
      <c r="C3" s="15" t="inlineStr">
        <is>
          <t>stable-diffusion-xl-base-1.0</t>
        </is>
      </c>
      <c r="D3" s="15" t="inlineStr">
        <is>
          <t>02</t>
        </is>
      </c>
      <c r="E3" s="16" t="inlineStr">
        <is>
          <t>1024x1024</t>
        </is>
      </c>
      <c r="F3" s="16" t="n">
        <v>30</v>
      </c>
      <c r="G3" s="16" t="n">
        <v>7</v>
      </c>
      <c r="H3" s="16" t="n">
        <v>8</v>
      </c>
      <c r="I3" s="16" t="n">
        <v>38</v>
      </c>
      <c r="J3" s="16" t="n">
        <v>361.8</v>
      </c>
      <c r="K3" s="16" t="n">
        <v>405.1</v>
      </c>
      <c r="L3" s="16" t="n">
        <v>4.94</v>
      </c>
      <c r="M3" s="16" t="n">
        <v>12.152</v>
      </c>
    </row>
    <row r="4">
      <c r="A4" s="15" t="inlineStr">
        <is>
          <t>Stable-Diffusion-XL</t>
        </is>
      </c>
      <c r="B4" s="15" t="inlineStr">
        <is>
          <t>MEDIUM</t>
        </is>
      </c>
      <c r="C4" s="15" t="inlineStr">
        <is>
          <t>stable-diffusion-xl-base-1.0</t>
        </is>
      </c>
      <c r="D4" s="15" t="inlineStr">
        <is>
          <t>03</t>
        </is>
      </c>
      <c r="E4" s="16" t="inlineStr">
        <is>
          <t>1024x1024</t>
        </is>
      </c>
      <c r="F4" s="16" t="n">
        <v>30</v>
      </c>
      <c r="G4" s="16" t="n">
        <v>7</v>
      </c>
      <c r="H4" s="16" t="n">
        <v>10</v>
      </c>
      <c r="I4" s="16" t="n">
        <v>56</v>
      </c>
      <c r="J4" s="16" t="n">
        <v>356.6</v>
      </c>
      <c r="K4" s="16" t="n">
        <v>406.7</v>
      </c>
      <c r="L4" s="16" t="n">
        <v>4.92</v>
      </c>
      <c r="M4" s="16" t="n">
        <v>12.201</v>
      </c>
    </row>
    <row r="5">
      <c r="A5" s="15" t="inlineStr">
        <is>
          <t>Stable-Diffusion-XL</t>
        </is>
      </c>
      <c r="B5" s="15" t="inlineStr">
        <is>
          <t>MEDIUM</t>
        </is>
      </c>
      <c r="C5" s="15" t="inlineStr">
        <is>
          <t>stable-diffusion-xl-base-1.0</t>
        </is>
      </c>
      <c r="D5" s="15" t="inlineStr">
        <is>
          <t>04</t>
        </is>
      </c>
      <c r="E5" s="16" t="inlineStr">
        <is>
          <t>1024x1024</t>
        </is>
      </c>
      <c r="F5" s="16" t="n">
        <v>30</v>
      </c>
      <c r="G5" s="16" t="n">
        <v>7</v>
      </c>
      <c r="H5" s="16" t="n">
        <v>15</v>
      </c>
      <c r="I5" s="16" t="n">
        <v>79</v>
      </c>
      <c r="J5" s="16" t="n">
        <v>353.8</v>
      </c>
      <c r="K5" s="16" t="n">
        <v>410.3</v>
      </c>
      <c r="L5" s="16" t="n">
        <v>4.87</v>
      </c>
      <c r="M5" s="16" t="n">
        <v>12.309</v>
      </c>
    </row>
    <row r="6">
      <c r="A6" s="15" t="inlineStr">
        <is>
          <t>Stable-Diffusion-XL</t>
        </is>
      </c>
      <c r="B6" s="15" t="inlineStr">
        <is>
          <t>MEDIUM</t>
        </is>
      </c>
      <c r="C6" s="15" t="inlineStr">
        <is>
          <t>stable-diffusion-xl-base-1.0</t>
        </is>
      </c>
      <c r="D6" s="15" t="inlineStr">
        <is>
          <t>05</t>
        </is>
      </c>
      <c r="E6" s="16" t="inlineStr">
        <is>
          <t>1024x1024</t>
        </is>
      </c>
      <c r="F6" s="16" t="n">
        <v>30</v>
      </c>
      <c r="G6" s="16" t="n">
        <v>7</v>
      </c>
      <c r="H6" s="16" t="n">
        <v>6</v>
      </c>
      <c r="I6" s="16" t="n">
        <v>45</v>
      </c>
      <c r="J6" s="16" t="n">
        <v>349.5</v>
      </c>
      <c r="K6" s="16" t="n">
        <v>410.4</v>
      </c>
      <c r="L6" s="16" t="n">
        <v>4.87</v>
      </c>
      <c r="M6" s="16" t="n">
        <v>12.312</v>
      </c>
    </row>
    <row r="7">
      <c r="A7" s="15" t="inlineStr">
        <is>
          <t>Stable-Diffusion-XL</t>
        </is>
      </c>
      <c r="B7" s="15" t="inlineStr">
        <is>
          <t>MEDIUM</t>
        </is>
      </c>
      <c r="C7" s="15" t="inlineStr">
        <is>
          <t>stable-diffusion-xl-base-1.0</t>
        </is>
      </c>
      <c r="D7" s="15" t="inlineStr">
        <is>
          <t>06</t>
        </is>
      </c>
      <c r="E7" s="16" t="inlineStr">
        <is>
          <t>1024x1024</t>
        </is>
      </c>
      <c r="F7" s="16" t="n">
        <v>30</v>
      </c>
      <c r="G7" s="16" t="n">
        <v>7</v>
      </c>
      <c r="H7" s="16" t="n">
        <v>5</v>
      </c>
      <c r="I7" s="16" t="n">
        <v>22</v>
      </c>
      <c r="J7" s="16" t="n">
        <v>350.3</v>
      </c>
      <c r="K7" s="16" t="n">
        <v>412.6</v>
      </c>
      <c r="L7" s="16" t="n">
        <v>4.85</v>
      </c>
      <c r="M7" s="16" t="n">
        <v>12.377</v>
      </c>
    </row>
    <row r="8">
      <c r="A8" s="15" t="inlineStr">
        <is>
          <t>Stable-Diffusion-XL</t>
        </is>
      </c>
      <c r="B8" s="15" t="inlineStr">
        <is>
          <t>MEDIUM</t>
        </is>
      </c>
      <c r="C8" s="15" t="inlineStr">
        <is>
          <t>stable-diffusion-xl-base-1.0</t>
        </is>
      </c>
      <c r="D8" s="15" t="inlineStr">
        <is>
          <t>07</t>
        </is>
      </c>
      <c r="E8" s="16" t="inlineStr">
        <is>
          <t>1024x1024</t>
        </is>
      </c>
      <c r="F8" s="16" t="n">
        <v>30</v>
      </c>
      <c r="G8" s="16" t="n">
        <v>7</v>
      </c>
      <c r="H8" s="16" t="n">
        <v>11</v>
      </c>
      <c r="I8" s="16" t="n">
        <v>60</v>
      </c>
      <c r="J8" s="16" t="n">
        <v>347.7</v>
      </c>
      <c r="K8" s="16" t="n">
        <v>413.3</v>
      </c>
      <c r="L8" s="16" t="n">
        <v>4.84</v>
      </c>
      <c r="M8" s="16" t="n">
        <v>12.4</v>
      </c>
    </row>
    <row r="9">
      <c r="A9" s="15" t="inlineStr">
        <is>
          <t>Stable-Diffusion-XL</t>
        </is>
      </c>
      <c r="B9" s="15" t="inlineStr">
        <is>
          <t>MEDIUM</t>
        </is>
      </c>
      <c r="C9" s="15" t="inlineStr">
        <is>
          <t>stable-diffusion-xl-base-1.0</t>
        </is>
      </c>
      <c r="D9" s="15" t="inlineStr">
        <is>
          <t>08</t>
        </is>
      </c>
      <c r="E9" s="16" t="inlineStr">
        <is>
          <t>1024x1024</t>
        </is>
      </c>
      <c r="F9" s="16" t="n">
        <v>30</v>
      </c>
      <c r="G9" s="16" t="n">
        <v>7</v>
      </c>
      <c r="H9" s="16" t="n">
        <v>15</v>
      </c>
      <c r="I9" s="16" t="n">
        <v>79</v>
      </c>
      <c r="J9" s="16" t="n">
        <v>353.5</v>
      </c>
      <c r="K9" s="16" t="n">
        <v>413.3</v>
      </c>
      <c r="L9" s="16" t="n">
        <v>4.84</v>
      </c>
      <c r="M9" s="16" t="n">
        <v>12.399</v>
      </c>
    </row>
    <row r="10">
      <c r="A10" s="15" t="inlineStr">
        <is>
          <t>Stable-Diffusion-XL</t>
        </is>
      </c>
      <c r="B10" s="15" t="inlineStr">
        <is>
          <t>MEDIUM</t>
        </is>
      </c>
      <c r="C10" s="15" t="inlineStr">
        <is>
          <t>stable-diffusion-xl-base-1.0</t>
        </is>
      </c>
      <c r="D10" s="15" t="inlineStr">
        <is>
          <t>09</t>
        </is>
      </c>
      <c r="E10" s="16" t="inlineStr">
        <is>
          <t>1024x1024</t>
        </is>
      </c>
      <c r="F10" s="16" t="n">
        <v>30</v>
      </c>
      <c r="G10" s="16" t="n">
        <v>7</v>
      </c>
      <c r="H10" s="16" t="n">
        <v>9</v>
      </c>
      <c r="I10" s="16" t="n">
        <v>38</v>
      </c>
      <c r="J10" s="16" t="n">
        <v>346.6</v>
      </c>
      <c r="K10" s="16" t="n">
        <v>414.2</v>
      </c>
      <c r="L10" s="16" t="n">
        <v>4.83</v>
      </c>
      <c r="M10" s="16" t="n">
        <v>12.426</v>
      </c>
    </row>
    <row r="11">
      <c r="A11" s="15" t="inlineStr">
        <is>
          <t>Stable-Diffusion-XL</t>
        </is>
      </c>
      <c r="B11" s="15" t="inlineStr">
        <is>
          <t>MEDIUM</t>
        </is>
      </c>
      <c r="C11" s="15" t="inlineStr">
        <is>
          <t>stable-diffusion-xl-base-1.0</t>
        </is>
      </c>
      <c r="D11" s="15" t="inlineStr">
        <is>
          <t>10</t>
        </is>
      </c>
      <c r="E11" s="16" t="inlineStr">
        <is>
          <t>1024x1024</t>
        </is>
      </c>
      <c r="F11" s="16" t="n">
        <v>30</v>
      </c>
      <c r="G11" s="16" t="n">
        <v>7</v>
      </c>
      <c r="H11" s="16" t="n">
        <v>9</v>
      </c>
      <c r="I11" s="16" t="n">
        <v>65</v>
      </c>
      <c r="J11" s="16" t="n">
        <v>353.4</v>
      </c>
      <c r="K11" s="16" t="n">
        <v>415.4</v>
      </c>
      <c r="L11" s="16" t="n">
        <v>4.81</v>
      </c>
      <c r="M11" s="16" t="n">
        <v>12.461</v>
      </c>
    </row>
    <row r="12">
      <c r="A12" s="15" t="inlineStr">
        <is>
          <t>FLUX.2-klein</t>
        </is>
      </c>
      <c r="B12" s="15" t="inlineStr">
        <is>
          <t>SMALL</t>
        </is>
      </c>
      <c r="C12" s="15" t="inlineStr">
        <is>
          <t>FLUX.2-klein-4B</t>
        </is>
      </c>
      <c r="D12" s="15" t="inlineStr">
        <is>
          <t>01</t>
        </is>
      </c>
      <c r="E12" s="16" t="inlineStr">
        <is>
          <t>1024x1024</t>
        </is>
      </c>
      <c r="F12" s="16" t="n">
        <v>4</v>
      </c>
      <c r="G12" s="16" t="n">
        <v>1</v>
      </c>
      <c r="H12" s="16" t="n">
        <v>17</v>
      </c>
      <c r="I12" s="16" t="n">
        <v>87</v>
      </c>
      <c r="J12" s="16" t="n"/>
      <c r="K12" s="16" t="n">
        <v>984.1</v>
      </c>
      <c r="L12" s="16" t="n">
        <v>15.24</v>
      </c>
      <c r="M12" s="16" t="n">
        <v>3.937</v>
      </c>
    </row>
    <row r="13">
      <c r="A13" s="15" t="inlineStr">
        <is>
          <t>FLUX.2-klein</t>
        </is>
      </c>
      <c r="B13" s="15" t="inlineStr">
        <is>
          <t>SMALL</t>
        </is>
      </c>
      <c r="C13" s="15" t="inlineStr">
        <is>
          <t>FLUX.2-klein-4B</t>
        </is>
      </c>
      <c r="D13" s="15" t="inlineStr">
        <is>
          <t>02</t>
        </is>
      </c>
      <c r="E13" s="16" t="inlineStr">
        <is>
          <t>1024x1024</t>
        </is>
      </c>
      <c r="F13" s="16" t="n">
        <v>4</v>
      </c>
      <c r="G13" s="16" t="n">
        <v>1</v>
      </c>
      <c r="H13" s="16" t="n">
        <v>8</v>
      </c>
      <c r="I13" s="16" t="n">
        <v>38</v>
      </c>
      <c r="J13" s="16" t="n"/>
      <c r="K13" s="16" t="n">
        <v>1001.6</v>
      </c>
      <c r="L13" s="16" t="n">
        <v>14.98</v>
      </c>
      <c r="M13" s="16" t="n">
        <v>4.006</v>
      </c>
    </row>
    <row r="14">
      <c r="A14" s="15" t="inlineStr">
        <is>
          <t>FLUX.2-klein</t>
        </is>
      </c>
      <c r="B14" s="15" t="inlineStr">
        <is>
          <t>SMALL</t>
        </is>
      </c>
      <c r="C14" s="15" t="inlineStr">
        <is>
          <t>FLUX.2-klein-4B</t>
        </is>
      </c>
      <c r="D14" s="15" t="inlineStr">
        <is>
          <t>03</t>
        </is>
      </c>
      <c r="E14" s="16" t="inlineStr">
        <is>
          <t>1024x1024</t>
        </is>
      </c>
      <c r="F14" s="16" t="n">
        <v>4</v>
      </c>
      <c r="G14" s="16" t="n">
        <v>1</v>
      </c>
      <c r="H14" s="16" t="n">
        <v>10</v>
      </c>
      <c r="I14" s="16" t="n">
        <v>56</v>
      </c>
      <c r="J14" s="16" t="n"/>
      <c r="K14" s="16" t="n">
        <v>1004.7</v>
      </c>
      <c r="L14" s="16" t="n">
        <v>14.93</v>
      </c>
      <c r="M14" s="16" t="n">
        <v>4.019</v>
      </c>
    </row>
    <row r="15">
      <c r="A15" s="15" t="inlineStr">
        <is>
          <t>FLUX.2-klein</t>
        </is>
      </c>
      <c r="B15" s="15" t="inlineStr">
        <is>
          <t>SMALL</t>
        </is>
      </c>
      <c r="C15" s="15" t="inlineStr">
        <is>
          <t>FLUX.2-klein-4B</t>
        </is>
      </c>
      <c r="D15" s="15" t="inlineStr">
        <is>
          <t>04</t>
        </is>
      </c>
      <c r="E15" s="16" t="inlineStr">
        <is>
          <t>1024x1024</t>
        </is>
      </c>
      <c r="F15" s="16" t="n">
        <v>4</v>
      </c>
      <c r="G15" s="16" t="n">
        <v>1</v>
      </c>
      <c r="H15" s="16" t="n">
        <v>15</v>
      </c>
      <c r="I15" s="16" t="n">
        <v>79</v>
      </c>
      <c r="J15" s="16" t="n"/>
      <c r="K15" s="16" t="n">
        <v>1017</v>
      </c>
      <c r="L15" s="16" t="n">
        <v>14.75</v>
      </c>
      <c r="M15" s="16" t="n">
        <v>4.068</v>
      </c>
    </row>
    <row r="16">
      <c r="A16" s="15" t="inlineStr">
        <is>
          <t>FLUX.2-klein</t>
        </is>
      </c>
      <c r="B16" s="15" t="inlineStr">
        <is>
          <t>SMALL</t>
        </is>
      </c>
      <c r="C16" s="15" t="inlineStr">
        <is>
          <t>FLUX.2-klein-4B</t>
        </is>
      </c>
      <c r="D16" s="15" t="inlineStr">
        <is>
          <t>05</t>
        </is>
      </c>
      <c r="E16" s="16" t="inlineStr">
        <is>
          <t>1024x1024</t>
        </is>
      </c>
      <c r="F16" s="16" t="n">
        <v>4</v>
      </c>
      <c r="G16" s="16" t="n">
        <v>1</v>
      </c>
      <c r="H16" s="16" t="n">
        <v>6</v>
      </c>
      <c r="I16" s="16" t="n">
        <v>45</v>
      </c>
      <c r="J16" s="16" t="n"/>
      <c r="K16" s="16" t="n">
        <v>1034.5</v>
      </c>
      <c r="L16" s="16" t="n">
        <v>14.5</v>
      </c>
      <c r="M16" s="16" t="n">
        <v>4.138</v>
      </c>
    </row>
    <row r="17">
      <c r="A17" s="15" t="inlineStr">
        <is>
          <t>FLUX.2-klein</t>
        </is>
      </c>
      <c r="B17" s="15" t="inlineStr">
        <is>
          <t>SMALL</t>
        </is>
      </c>
      <c r="C17" s="15" t="inlineStr">
        <is>
          <t>FLUX.2-klein-4B</t>
        </is>
      </c>
      <c r="D17" s="15" t="inlineStr">
        <is>
          <t>06</t>
        </is>
      </c>
      <c r="E17" s="16" t="inlineStr">
        <is>
          <t>1024x1024</t>
        </is>
      </c>
      <c r="F17" s="16" t="n">
        <v>4</v>
      </c>
      <c r="G17" s="16" t="n">
        <v>1</v>
      </c>
      <c r="H17" s="16" t="n">
        <v>5</v>
      </c>
      <c r="I17" s="16" t="n">
        <v>22</v>
      </c>
      <c r="J17" s="16" t="n"/>
      <c r="K17" s="16" t="n">
        <v>1076.9</v>
      </c>
      <c r="L17" s="16" t="n">
        <v>13.93</v>
      </c>
      <c r="M17" s="16" t="n">
        <v>4.308</v>
      </c>
    </row>
    <row r="18">
      <c r="A18" s="15" t="inlineStr">
        <is>
          <t>FLUX.2-klein</t>
        </is>
      </c>
      <c r="B18" s="15" t="inlineStr">
        <is>
          <t>SMALL</t>
        </is>
      </c>
      <c r="C18" s="15" t="inlineStr">
        <is>
          <t>FLUX.2-klein-4B</t>
        </is>
      </c>
      <c r="D18" s="15" t="inlineStr">
        <is>
          <t>07</t>
        </is>
      </c>
      <c r="E18" s="16" t="inlineStr">
        <is>
          <t>1024x1024</t>
        </is>
      </c>
      <c r="F18" s="16" t="n">
        <v>4</v>
      </c>
      <c r="G18" s="16" t="n">
        <v>1</v>
      </c>
      <c r="H18" s="16" t="n">
        <v>11</v>
      </c>
      <c r="I18" s="16" t="n">
        <v>60</v>
      </c>
      <c r="J18" s="16" t="n"/>
      <c r="K18" s="16" t="n">
        <v>1113.2</v>
      </c>
      <c r="L18" s="16" t="n">
        <v>13.47</v>
      </c>
      <c r="M18" s="16" t="n">
        <v>4.453</v>
      </c>
    </row>
    <row r="19">
      <c r="A19" s="15" t="inlineStr">
        <is>
          <t>FLUX.2-klein</t>
        </is>
      </c>
      <c r="B19" s="15" t="inlineStr">
        <is>
          <t>SMALL</t>
        </is>
      </c>
      <c r="C19" s="15" t="inlineStr">
        <is>
          <t>FLUX.2-klein-4B</t>
        </is>
      </c>
      <c r="D19" s="15" t="inlineStr">
        <is>
          <t>08</t>
        </is>
      </c>
      <c r="E19" s="16" t="inlineStr">
        <is>
          <t>1024x1024</t>
        </is>
      </c>
      <c r="F19" s="16" t="n">
        <v>4</v>
      </c>
      <c r="G19" s="16" t="n">
        <v>1</v>
      </c>
      <c r="H19" s="16" t="n">
        <v>15</v>
      </c>
      <c r="I19" s="16" t="n">
        <v>79</v>
      </c>
      <c r="J19" s="16" t="n"/>
      <c r="K19" s="16" t="n">
        <v>1137.4</v>
      </c>
      <c r="L19" s="16" t="n">
        <v>13.19</v>
      </c>
      <c r="M19" s="16" t="n">
        <v>4.55</v>
      </c>
    </row>
    <row r="20">
      <c r="A20" s="15" t="inlineStr">
        <is>
          <t>FLUX.2-klein</t>
        </is>
      </c>
      <c r="B20" s="15" t="inlineStr">
        <is>
          <t>SMALL</t>
        </is>
      </c>
      <c r="C20" s="15" t="inlineStr">
        <is>
          <t>FLUX.2-klein-4B</t>
        </is>
      </c>
      <c r="D20" s="15" t="inlineStr">
        <is>
          <t>09</t>
        </is>
      </c>
      <c r="E20" s="16" t="inlineStr">
        <is>
          <t>1024x1024</t>
        </is>
      </c>
      <c r="F20" s="16" t="n">
        <v>4</v>
      </c>
      <c r="G20" s="16" t="n">
        <v>1</v>
      </c>
      <c r="H20" s="16" t="n">
        <v>9</v>
      </c>
      <c r="I20" s="16" t="n">
        <v>38</v>
      </c>
      <c r="J20" s="16" t="n"/>
      <c r="K20" s="16" t="n">
        <v>1145.9</v>
      </c>
      <c r="L20" s="16" t="n">
        <v>13.09</v>
      </c>
      <c r="M20" s="16" t="n">
        <v>4.584</v>
      </c>
    </row>
    <row r="21">
      <c r="A21" s="15" t="inlineStr">
        <is>
          <t>FLUX.2-klein</t>
        </is>
      </c>
      <c r="B21" s="15" t="inlineStr">
        <is>
          <t>SMALL</t>
        </is>
      </c>
      <c r="C21" s="15" t="inlineStr">
        <is>
          <t>FLUX.2-klein-4B</t>
        </is>
      </c>
      <c r="D21" s="15" t="inlineStr">
        <is>
          <t>10</t>
        </is>
      </c>
      <c r="E21" s="16" t="inlineStr">
        <is>
          <t>1024x1024</t>
        </is>
      </c>
      <c r="F21" s="16" t="n">
        <v>4</v>
      </c>
      <c r="G21" s="16" t="n">
        <v>1</v>
      </c>
      <c r="H21" s="16" t="n">
        <v>9</v>
      </c>
      <c r="I21" s="16" t="n">
        <v>65</v>
      </c>
      <c r="J21" s="16" t="n"/>
      <c r="K21" s="16" t="n">
        <v>1148.8</v>
      </c>
      <c r="L21" s="16" t="n">
        <v>13.06</v>
      </c>
      <c r="M21" s="16" t="n">
        <v>4.595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2026-10-13T17:21:30Z</dcterms:created>
  <dcterms:modified xsi:type="dcterms:W3CDTF">2026-10-13T17:21:30Z</dcterms:modified>
</cp:coreProperties>
</file>